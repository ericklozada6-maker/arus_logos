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uscomco.sharepoint.com/sites/Entornosproactivosset/interno_arus/Documentos compartidos/App/"/>
    </mc:Choice>
  </mc:AlternateContent>
  <xr:revisionPtr revIDLastSave="294" documentId="8_{0DB91932-C980-40A1-BD55-8A56A882D32F}" xr6:coauthVersionLast="47" xr6:coauthVersionMax="47" xr10:uidLastSave="{E9EC0A6A-B394-4A3B-B9CC-B27E0E133F0A}"/>
  <bookViews>
    <workbookView xWindow="-108" yWindow="-108" windowWidth="23256" windowHeight="12456" xr2:uid="{F27746DC-0FC3-4E7B-AE39-BC2CEFB19634}"/>
  </bookViews>
  <sheets>
    <sheet name="BD_usuarios" sheetId="2" r:id="rId1"/>
    <sheet name="BD_hardware" sheetId="1" r:id="rId2"/>
    <sheet name="BD_seguridad" sheetId="3" r:id="rId3"/>
  </sheets>
  <definedNames>
    <definedName name="query" localSheetId="1" hidden="1">BD_hardware!$A$1:$G$3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J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7A21E93-5E13-4062-9A7E-6CE83EDBB0EA}" odcFile="C:\Users\maicol.lozada\Downloads\query.iqy" keepAlive="1" name="query" type="5" refreshedVersion="8" minRefreshableVersion="3" saveData="1">
    <dbPr connection="Provider=Microsoft.Office.List.OLEDB.2.0;Data Source=&quot;&quot;;ApplicationName=Excel;Version=12.0.0.0" command="&lt;LIST&gt;&lt;VIEWGUID&gt;271FF7F8-63DA-4723-B546-E043AEF3666B&lt;/VIEWGUID&gt;&lt;LISTNAME&gt;47228a27-27ec-44d9-8327-60cbaaed0047&lt;/LISTNAME&gt;&lt;LISTWEB&gt;https://aruscomco.sharepoint.com/sites/Entornosproactivosset/daas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<sst xmlns="http://schemas.openxmlformats.org/spreadsheetml/2006/main" count="160" uniqueCount="107">
  <si>
    <t>ARUS S.A.S</t>
  </si>
  <si>
    <t>MARIBEL  ROJAS CORTES</t>
  </si>
  <si>
    <t>maribel.rojas@arus.com.co</t>
  </si>
  <si>
    <t>ANALISTA SERVICIOS INVENTARIOS</t>
  </si>
  <si>
    <t>SERVICIO ENTORNO DE TRABAJO</t>
  </si>
  <si>
    <t>COLOMBIA/SEDE CLIENTE</t>
  </si>
  <si>
    <t>ZONA OCCIDENTE</t>
  </si>
  <si>
    <t>GER. SERVICIOS Y TI</t>
  </si>
  <si>
    <t>COLOMBINA S.A</t>
  </si>
  <si>
    <t>mbrojas@colombina.com</t>
  </si>
  <si>
    <t>CP00017254372</t>
  </si>
  <si>
    <t>SONIA LILIANA LONDOÑO ALVAREZ</t>
  </si>
  <si>
    <t>slondono@colombina.com</t>
  </si>
  <si>
    <t>LIDER CONTRATO TI N2</t>
  </si>
  <si>
    <t>ED&amp;PU | COLOMBINA | U080403141</t>
  </si>
  <si>
    <t>CALI</t>
  </si>
  <si>
    <t>SISTEMAS</t>
  </si>
  <si>
    <t>SMURFIT WESTROCK P.L.C</t>
  </si>
  <si>
    <t>ERIK LOZADA ANAYA</t>
  </si>
  <si>
    <t>maicol.lozada@arus.com.co</t>
  </si>
  <si>
    <t>DIT PRUEBA 2025</t>
  </si>
  <si>
    <t xml:space="preserve">COLOMBIA/YUMBO </t>
  </si>
  <si>
    <t>CARTON DE COLOMBIA S.A</t>
  </si>
  <si>
    <t>SERVICE EXCELLENCE PRUEBRA</t>
  </si>
  <si>
    <t>GERENTE DE CONTRATO ITO</t>
  </si>
  <si>
    <t>Soporte</t>
  </si>
  <si>
    <t>arandaadm@colombina.com</t>
  </si>
  <si>
    <t>ARANDA ADM</t>
  </si>
  <si>
    <t>CUENTA GENERICA</t>
  </si>
  <si>
    <t>US_Correo_usuario</t>
  </si>
  <si>
    <t>US_Nombre_usuario</t>
  </si>
  <si>
    <t>US_Identificacion_usuario</t>
  </si>
  <si>
    <t>US_Empresa_usuario</t>
  </si>
  <si>
    <t>US_Cargo_usuario</t>
  </si>
  <si>
    <t>US_Ceco_usuario</t>
  </si>
  <si>
    <t>US_Ciudad_usuario</t>
  </si>
  <si>
    <t>US_Zona_usuario</t>
  </si>
  <si>
    <t>US_Area_usuario</t>
  </si>
  <si>
    <t>HW_Cliente_activo</t>
  </si>
  <si>
    <t>HW_Serial_activo</t>
  </si>
  <si>
    <t>HW_Placa_activo</t>
  </si>
  <si>
    <t>HW_Tipo_activo</t>
  </si>
  <si>
    <t>HW_Marca_activo</t>
  </si>
  <si>
    <t>HW_Modelo_activo</t>
  </si>
  <si>
    <t>HW_Estado_activo</t>
  </si>
  <si>
    <t>HW_Ceco_activo</t>
  </si>
  <si>
    <t>HW_Responsable_activo</t>
  </si>
  <si>
    <t>HW_Observaciones_activo</t>
  </si>
  <si>
    <t>HW_Modulo_activo</t>
  </si>
  <si>
    <t>HENKIA</t>
  </si>
  <si>
    <t>ABCDEF123</t>
  </si>
  <si>
    <t>123456</t>
  </si>
  <si>
    <t>MOUSE</t>
  </si>
  <si>
    <t>LOGI</t>
  </si>
  <si>
    <t>M74E</t>
  </si>
  <si>
    <t>Buen estado</t>
  </si>
  <si>
    <t>Actas digitales</t>
  </si>
  <si>
    <t>SG_Correo_soporte</t>
  </si>
  <si>
    <t>SG_Nombre_soporte</t>
  </si>
  <si>
    <t>SG_Cargo_soporte</t>
  </si>
  <si>
    <t>SG_Clientes_soporte</t>
  </si>
  <si>
    <t>SG_Perfil_soporte</t>
  </si>
  <si>
    <t>operaciones.set@arus.com.co</t>
  </si>
  <si>
    <t>AUTOMATIZACION SERVICIOS ED&amp;PU</t>
  </si>
  <si>
    <t>Todos</t>
  </si>
  <si>
    <t>Desarrollador</t>
  </si>
  <si>
    <t>MARIBEL ROJAS CORTES</t>
  </si>
  <si>
    <t>COLOMBINA S.A;#HENKIA</t>
  </si>
  <si>
    <t>sonia.londono@arus.com.co</t>
  </si>
  <si>
    <t>LIDER CONTRATO TI-N2</t>
  </si>
  <si>
    <t>COLOMBINA S.A;#ARUS S.A.S</t>
  </si>
  <si>
    <t>Lider</t>
  </si>
  <si>
    <t>SMURFIT WESTROCK P.L.C;#LLOREDA S.A;#COLOMBINA S.A;#HENKIA</t>
  </si>
  <si>
    <t>juan.pelaez@arus.com.co</t>
  </si>
  <si>
    <t>JUAN PABLO PELAEZ MONTOYA</t>
  </si>
  <si>
    <t>ANALISTA EVOLUCION DE OPERACIONES N2</t>
  </si>
  <si>
    <t>jorge.moreno@arus.com.co</t>
  </si>
  <si>
    <t>JORGE LUIS MORENO AGUIRRE</t>
  </si>
  <si>
    <t>COORDINADOR DE OPERACIONES ITO</t>
  </si>
  <si>
    <t>ARUS S.A.S;#EXPRESO BRASILIA S.A;#IBM DE COLOMBIA S.A.S</t>
  </si>
  <si>
    <t>jorge.alarcon@arus.com.co</t>
  </si>
  <si>
    <t>JORGE ALBERTO ALARCON AVILA</t>
  </si>
  <si>
    <t>jherson.apraez@arus.com.co</t>
  </si>
  <si>
    <t>JHERSON FARID APRAEZ GUERRA</t>
  </si>
  <si>
    <t>LIDER DE CONTRATO TI-N1</t>
  </si>
  <si>
    <t>YUPI-CINAL S.A.S;#COÉXITO S.A.S</t>
  </si>
  <si>
    <t>david.gallego@arus.com.co</t>
  </si>
  <si>
    <t>DAVID GALLEGO RUIZ</t>
  </si>
  <si>
    <t>DIRECTOR TI INTERNA</t>
  </si>
  <si>
    <t>juan.revelo@arus.com.co</t>
  </si>
  <si>
    <t>JUAN CAMILO REVELO CAICEDO</t>
  </si>
  <si>
    <t>SOPORTE SERVICIOS SET-N2</t>
  </si>
  <si>
    <t>YUPI-CINAL S.A.S</t>
  </si>
  <si>
    <t>didier.collazos@arus.com.co</t>
  </si>
  <si>
    <t>DIDIER FERNANDO COLLAZOS ARTUNDUAGA</t>
  </si>
  <si>
    <t>ANALISTA DE ACTIVOS</t>
  </si>
  <si>
    <t>ARUS S.A.S;#SMURFIT WESTROCK P.L.C</t>
  </si>
  <si>
    <t>automatizaciones@expresobrasilia.com</t>
  </si>
  <si>
    <t>EXPRESO BRASILIA</t>
  </si>
  <si>
    <t>EXPRESO BRASILIA S.A</t>
  </si>
  <si>
    <t>angel.santos@arus.com.co</t>
  </si>
  <si>
    <t>ANGEL MANUEL SANTOS ORDOÑEZ</t>
  </si>
  <si>
    <t>SOPORTE SERVICIOS SET-MOVIL N2</t>
  </si>
  <si>
    <t>ARUS S.A.S;#COÉXITO S.A.S</t>
  </si>
  <si>
    <t>gustavo.ortiz@arus.com.co</t>
  </si>
  <si>
    <t>GUSTAVO ORTIZ</t>
  </si>
  <si>
    <t>DIRECTOR DE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</si>
</sst>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horizontal="center" vertical="center"/>
    </xf>
    <xf numFmtId="49" fontId="18" fillId="0" borderId="0" xfId="0" applyNumberFormat="1" applyFont="1" applyAlignment="1">
      <alignment vertical="center"/>
    </xf>
    <xf numFmtId="0" fontId="18" fillId="0" borderId="0" xfId="0" applyFont="1" applyAlignment="1">
      <alignment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31"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vertical="center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  <alignment vertical="center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vertical="center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vertical="center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vertical="center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connections" Target="connection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" backgroundRefresh="0" connectionId="1" xr16:uid="{5ED8AF5E-3FE4-4EA4-BC41-B036A235DDD1}" autoFormatId="16" applyNumberFormats="0" applyBorderFormats="0" applyFontFormats="0" applyPatternFormats="0" applyAlignmentFormats="0" applyWidthHeightFormats="0">
  <queryTableRefresh nextId="16" unboundColumnsRight="4">
    <queryTableFields count="11">
      <queryTableField id="1" name="Título" tableColumnId="1"/>
      <queryTableField id="2" name="Empresa_usuario" tableColumnId="2"/>
      <queryTableField id="3" name="Tipo_dispositivo" tableColumnId="3"/>
      <queryTableField id="4" name="Placa" tableColumnId="4"/>
      <queryTableField id="5" name="Marca" tableColumnId="5"/>
      <queryTableField id="6" name="Modelo" tableColumnId="6"/>
      <queryTableField id="7" name="Observaciones" tableColumnId="7"/>
      <queryTableField id="12" dataBound="0" tableColumnId="9"/>
      <queryTableField id="13" dataBound="0" tableColumnId="10"/>
      <queryTableField id="15" dataBound="0" tableColumnId="12"/>
      <queryTableField id="14" dataBound="0" tableColumnId="11"/>
    </queryTableFields>
    <queryTableDeletedFields count="3">
      <deletedField name="Modificado"/>
      <deletedField name="Tipo de elemento"/>
      <deletedField name="Ruta de acceso"/>
    </queryTableDeleted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B64B454-D393-495F-9ECE-419C803FAAB8}" name="BD_usuarios" displayName="BD_usuarios" ref="A1:I6" totalsRowShown="0" headerRowDxfId="30" dataDxfId="29">
  <tableColumns count="9">
    <tableColumn id="1" xr3:uid="{6F9B823C-2641-44B1-8B35-502A61124B8D}" name="US_Correo_usuario" dataDxfId="28"/>
    <tableColumn id="10" xr3:uid="{25C7F0AB-2143-4E94-BDFB-60BBC0D91354}" name="US_Nombre_usuario" dataDxfId="27"/>
    <tableColumn id="2" xr3:uid="{DC8D6953-7142-4830-881C-95E0D101269C}" name="US_Identificacion_usuario" dataDxfId="26"/>
    <tableColumn id="4" xr3:uid="{92DEBB53-C9A5-4DA7-BB8E-91B33F1ACBA3}" name="US_Empresa_usuario" dataDxfId="25"/>
    <tableColumn id="5" xr3:uid="{6BFDF2BF-C2CD-48F3-9EA2-7A3B64F75D94}" name="US_Cargo_usuario" dataDxfId="24"/>
    <tableColumn id="6" xr3:uid="{3EE71528-8AC9-4204-8317-A0164D2A0D17}" name="US_Ceco_usuario" dataDxfId="23"/>
    <tableColumn id="7" xr3:uid="{87FB061A-9EF3-4054-9B42-096464EF9F02}" name="US_Ciudad_usuario" dataDxfId="22"/>
    <tableColumn id="8" xr3:uid="{417DA3D7-03BC-45DC-896F-10366717DC41}" name="US_Zona_usuario" dataDxfId="21"/>
    <tableColumn id="9" xr3:uid="{91379662-6418-4620-A92B-1D351BBEE5B9}" name="US_Area_usuario" dataDxfId="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333B84-4301-4CA4-B918-277CC9332F06}" name="BD_hardware" displayName="BD_hardware" ref="A1:K3" tableType="queryTable" totalsRowShown="0" headerRowDxfId="19" dataDxfId="18">
  <autoFilter ref="A1:K3" xr:uid="{38333B84-4301-4CA4-B918-277CC9332F06}"/>
  <tableColumns count="11">
    <tableColumn id="1" xr3:uid="{CE6FB908-BC10-4DD4-A7A5-70D83AC733A0}" uniqueName="Title" name="HW_Cliente_activo" queryTableFieldId="1" dataDxfId="17"/>
    <tableColumn id="2" xr3:uid="{1AD0B772-5D55-4874-A015-CAB90B3E9960}" uniqueName="Empresa_usuario" name="HW_Serial_activo" queryTableFieldId="2" dataDxfId="16"/>
    <tableColumn id="3" xr3:uid="{24A486D9-7358-4579-A615-A762B86E48B0}" uniqueName="Tipo_dispositivo" name="HW_Placa_activo" queryTableFieldId="3" dataDxfId="15"/>
    <tableColumn id="4" xr3:uid="{435CA3A1-2EBC-4B2E-87C5-56CF9A6A2C45}" uniqueName="Placa" name="HW_Tipo_activo" queryTableFieldId="4" dataDxfId="14"/>
    <tableColumn id="5" xr3:uid="{880E076A-DEEF-4B79-BE63-664CA9A73B4F}" uniqueName="Marca" name="HW_Marca_activo" queryTableFieldId="5" dataDxfId="13"/>
    <tableColumn id="6" xr3:uid="{F8563F75-BD84-455A-98F5-279E8EA5FE8A}" uniqueName="Modelo" name="HW_Modelo_activo" queryTableFieldId="6" dataDxfId="12"/>
    <tableColumn id="7" xr3:uid="{73B830DC-C652-4E38-A5C3-66F27C405CD1}" uniqueName="Observaciones" name="HW_Estado_activo" queryTableFieldId="7" dataDxfId="11"/>
    <tableColumn id="9" xr3:uid="{0C8EB943-DFFB-4057-9E2D-55D8F75488A5}" uniqueName="9" name="HW_Ceco_activo" queryTableFieldId="12" dataDxfId="10"/>
    <tableColumn id="10" xr3:uid="{1EF3D44A-650E-4131-AF6A-603B59DBE074}" uniqueName="10" name="HW_Responsable_activo" queryTableFieldId="13" dataDxfId="9"/>
    <tableColumn id="12" xr3:uid="{FB5ACD7D-A2B5-47B2-B31C-FE1C83A60721}" uniqueName="12" name="HW_Observaciones_activo" queryTableFieldId="15" dataDxfId="8">
      <calculatedColumnFormula>"Carga inicial #"&amp;ROW()-ROW(BD_hardware[[#Headers],[HW_Serial_activo]])&amp;" "&amp;BD_hardware[[#This Row],[HW_Cliente_activo]]&amp;" "&amp;BD_hardware[[#This Row],[HW_Modulo_activo]]</calculatedColumnFormula>
    </tableColumn>
    <tableColumn id="11" xr3:uid="{3197ED2D-24C2-4F67-8AD9-26DB2526DA06}" uniqueName="11" name="HW_Modulo_activo" queryTableFieldId="14" dataDxf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7E5FAA-6A08-462D-81D2-56A26A688726}" name="BD_seguridad" displayName="BD_seguridad" ref="A1:E16" totalsRowShown="0" headerRowDxfId="6" dataDxfId="5">
  <tableColumns count="5">
    <tableColumn id="1" xr3:uid="{768A9F50-ADED-4FC7-A1DD-3F9EDA857E34}" name="SG_Correo_soporte" dataDxfId="4"/>
    <tableColumn id="2" xr3:uid="{D5BB5652-20D8-4593-BE7D-49CB9B06665D}" name="SG_Nombre_soporte" dataDxfId="3"/>
    <tableColumn id="3" xr3:uid="{E52FA021-D6A7-4BDC-ACF5-5B1A11114969}" name="SG_Cargo_soporte" dataDxfId="2"/>
    <tableColumn id="4" xr3:uid="{DCDA7974-23E4-4088-AF6D-8AB38A488FE3}" name="SG_Clientes_soporte" dataDxfId="1"/>
    <tableColumn id="5" xr3:uid="{850A84A6-7F96-4F84-8B10-07801740F6D1}" name="SG_Perfil_sopor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E25AA-1B5E-402D-BB63-2A7BEEBBCADA}">
  <dimension ref="A1:I6"/>
  <sheetViews>
    <sheetView showGridLines="0" tabSelected="1" workbookViewId="0">
      <selection activeCell="C21" sqref="C21"/>
    </sheetView>
  </sheetViews>
  <sheetFormatPr baseColWidth="10" defaultColWidth="11.44140625" defaultRowHeight="13.8" x14ac:dyDescent="0.3"/>
  <cols>
    <col min="1" max="1" width="23.6640625" style="3" bestFit="1" customWidth="1"/>
    <col min="2" max="2" width="25.77734375" style="3" customWidth="1"/>
    <col min="3" max="3" width="21.44140625" style="3" bestFit="1" customWidth="1"/>
    <col min="4" max="4" width="18" style="3" bestFit="1" customWidth="1"/>
    <col min="5" max="5" width="27.6640625" style="3" bestFit="1" customWidth="1"/>
    <col min="6" max="6" width="25.44140625" style="3" customWidth="1"/>
    <col min="7" max="7" width="20.44140625" style="3" bestFit="1" customWidth="1"/>
    <col min="8" max="8" width="21.5546875" style="3" bestFit="1" customWidth="1"/>
    <col min="9" max="9" width="24.33203125" style="3" bestFit="1" customWidth="1"/>
    <col min="10" max="16384" width="11.44140625" style="3"/>
  </cols>
  <sheetData>
    <row r="1" spans="1:9" x14ac:dyDescent="0.3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</row>
    <row r="2" spans="1:9" x14ac:dyDescent="0.3">
      <c r="A2" s="3" t="s">
        <v>2</v>
      </c>
      <c r="B2" s="3" t="s">
        <v>1</v>
      </c>
      <c r="C2" s="3">
        <v>124124124</v>
      </c>
      <c r="D2" s="3" t="s">
        <v>0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</row>
    <row r="3" spans="1:9" x14ac:dyDescent="0.3">
      <c r="A3" s="3" t="s">
        <v>9</v>
      </c>
      <c r="B3" s="3" t="s">
        <v>1</v>
      </c>
      <c r="C3" s="3">
        <v>123456789</v>
      </c>
      <c r="D3" s="3" t="s">
        <v>8</v>
      </c>
      <c r="E3" s="3" t="s">
        <v>3</v>
      </c>
      <c r="F3" s="3" t="s">
        <v>10</v>
      </c>
      <c r="G3" s="3" t="s">
        <v>5</v>
      </c>
      <c r="H3" s="3" t="s">
        <v>6</v>
      </c>
      <c r="I3" s="3" t="s">
        <v>7</v>
      </c>
    </row>
    <row r="4" spans="1:9" x14ac:dyDescent="0.3">
      <c r="A4" s="3" t="s">
        <v>2</v>
      </c>
      <c r="B4" s="3" t="s">
        <v>1</v>
      </c>
      <c r="C4" s="3">
        <v>987654321</v>
      </c>
      <c r="D4" s="3" t="s">
        <v>8</v>
      </c>
      <c r="E4" s="3" t="s">
        <v>3</v>
      </c>
      <c r="F4" s="3" t="s">
        <v>10</v>
      </c>
      <c r="G4" s="3" t="s">
        <v>5</v>
      </c>
      <c r="H4" s="3" t="s">
        <v>6</v>
      </c>
      <c r="I4" s="3" t="s">
        <v>7</v>
      </c>
    </row>
    <row r="5" spans="1:9" x14ac:dyDescent="0.3">
      <c r="A5" s="3" t="s">
        <v>12</v>
      </c>
      <c r="B5" s="3" t="s">
        <v>11</v>
      </c>
      <c r="C5" s="3">
        <v>1234567890</v>
      </c>
      <c r="D5" s="3" t="s">
        <v>8</v>
      </c>
      <c r="E5" s="3" t="s">
        <v>13</v>
      </c>
      <c r="F5" s="3" t="s">
        <v>14</v>
      </c>
      <c r="G5" s="3" t="s">
        <v>15</v>
      </c>
      <c r="H5" s="3" t="s">
        <v>6</v>
      </c>
      <c r="I5" s="3" t="s">
        <v>16</v>
      </c>
    </row>
    <row r="6" spans="1:9" x14ac:dyDescent="0.3">
      <c r="A6" s="3" t="s">
        <v>19</v>
      </c>
      <c r="B6" s="3" t="s">
        <v>18</v>
      </c>
      <c r="C6" s="3">
        <v>1144075626</v>
      </c>
      <c r="D6" s="3" t="s">
        <v>17</v>
      </c>
      <c r="E6" s="3" t="s">
        <v>24</v>
      </c>
      <c r="F6" s="3" t="s">
        <v>20</v>
      </c>
      <c r="G6" s="3" t="s">
        <v>21</v>
      </c>
      <c r="H6" s="3" t="s">
        <v>22</v>
      </c>
      <c r="I6" s="3" t="s">
        <v>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57047-82F6-4D96-8C2B-07B979CDC8A0}">
  <dimension ref="A1:K3"/>
  <sheetViews>
    <sheetView showGridLines="0" workbookViewId="0">
      <selection activeCell="C3" sqref="C3"/>
    </sheetView>
  </sheetViews>
  <sheetFormatPr baseColWidth="10" defaultColWidth="11.44140625" defaultRowHeight="13.8" x14ac:dyDescent="0.3"/>
  <cols>
    <col min="1" max="1" width="20.33203125" style="3" bestFit="1" customWidth="1"/>
    <col min="2" max="2" width="19.109375" style="3" bestFit="1" customWidth="1"/>
    <col min="3" max="3" width="18.77734375" style="3" bestFit="1" customWidth="1"/>
    <col min="4" max="4" width="18.109375" style="3" bestFit="1" customWidth="1"/>
    <col min="5" max="5" width="19.6640625" style="3" bestFit="1" customWidth="1"/>
    <col min="6" max="6" width="21" style="3" bestFit="1" customWidth="1"/>
    <col min="7" max="7" width="20" style="3" bestFit="1" customWidth="1"/>
    <col min="8" max="8" width="26.109375" style="3" bestFit="1" customWidth="1"/>
    <col min="9" max="9" width="24.88671875" style="3" bestFit="1" customWidth="1"/>
    <col min="10" max="10" width="30.77734375" style="3" bestFit="1" customWidth="1"/>
    <col min="11" max="11" width="21" style="3" bestFit="1" customWidth="1"/>
    <col min="12" max="16384" width="11.44140625" style="3"/>
  </cols>
  <sheetData>
    <row r="1" spans="1:11" s="1" customFormat="1" x14ac:dyDescent="0.3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</row>
    <row r="2" spans="1:11" x14ac:dyDescent="0.3">
      <c r="A2" s="2" t="s">
        <v>49</v>
      </c>
      <c r="B2" s="2" t="s">
        <v>50</v>
      </c>
      <c r="C2" s="2" t="s">
        <v>51</v>
      </c>
      <c r="D2" s="2" t="s">
        <v>52</v>
      </c>
      <c r="E2" s="2" t="s">
        <v>53</v>
      </c>
      <c r="F2" s="2" t="s">
        <v>54</v>
      </c>
      <c r="G2" s="3" t="s">
        <v>55</v>
      </c>
      <c r="H2" s="2" t="s">
        <v>4</v>
      </c>
      <c r="I2" s="2" t="s">
        <v>18</v>
      </c>
      <c r="J2" s="3" t="str">
        <f>"Carga inicial #"&amp;ROW()-ROW(BD_hardware[[#Headers],[HW_Serial_activo]])&amp;" "&amp;BD_hardware[[#This Row],[HW_Cliente_activo]]&amp;" "&amp;BD_hardware[[#This Row],[HW_Modulo_activo]]</f>
        <v>Carga inicial #1 HENKIA Actas digitales</v>
      </c>
      <c r="K2" s="2" t="s">
        <v>56</v>
      </c>
    </row>
    <row r="3" spans="1:11" x14ac:dyDescent="0.3">
      <c r="A3" s="2" t="s">
        <v>49</v>
      </c>
      <c r="B3" s="2" t="s">
        <v>50</v>
      </c>
      <c r="C3" s="2" t="s">
        <v>51</v>
      </c>
      <c r="D3" s="2" t="s">
        <v>52</v>
      </c>
      <c r="E3" s="2" t="s">
        <v>53</v>
      </c>
      <c r="F3" s="2" t="s">
        <v>54</v>
      </c>
      <c r="G3" s="3" t="s">
        <v>55</v>
      </c>
      <c r="H3" s="2" t="s">
        <v>4</v>
      </c>
      <c r="I3" s="2" t="s">
        <v>18</v>
      </c>
      <c r="J3" s="3" t="str">
        <f>"Carga inicial #"&amp;ROW()-ROW(BD_hardware[[#Headers],[HW_Serial_activo]])&amp;" "&amp;BD_hardware[[#This Row],[HW_Cliente_activo]]&amp;" "&amp;BD_hardware[[#This Row],[HW_Modulo_activo]]</f>
        <v>Carga inicial #2 HENKIA Actas digitales</v>
      </c>
      <c r="K3" s="2" t="s">
        <v>56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BD71E-16AA-4EF9-AD83-FE16F9F71FF1}">
  <dimension ref="A1:E16"/>
  <sheetViews>
    <sheetView showGridLines="0" workbookViewId="0">
      <selection activeCell="H12" sqref="H12"/>
    </sheetView>
  </sheetViews>
  <sheetFormatPr baseColWidth="10" defaultColWidth="11.44140625" defaultRowHeight="13.8" x14ac:dyDescent="0.3"/>
  <cols>
    <col min="1" max="1" width="18.5546875" style="3" customWidth="1"/>
    <col min="2" max="2" width="18" style="3" customWidth="1"/>
    <col min="3" max="3" width="20.5546875" style="3" customWidth="1"/>
    <col min="4" max="4" width="23.109375" style="3" customWidth="1"/>
    <col min="5" max="5" width="16" style="3" customWidth="1"/>
    <col min="6" max="16384" width="11.44140625" style="3"/>
  </cols>
  <sheetData>
    <row r="1" spans="1:5" x14ac:dyDescent="0.3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</row>
    <row r="2" spans="1:5" x14ac:dyDescent="0.3">
      <c r="A2" s="3" t="s">
        <v>26</v>
      </c>
      <c r="B2" s="3" t="s">
        <v>27</v>
      </c>
      <c r="C2" s="3" t="s">
        <v>28</v>
      </c>
      <c r="D2" s="3" t="s">
        <v>8</v>
      </c>
      <c r="E2" s="3" t="s">
        <v>25</v>
      </c>
    </row>
    <row r="3" spans="1:5" x14ac:dyDescent="0.3">
      <c r="A3" s="3" t="s">
        <v>62</v>
      </c>
      <c r="B3" s="3" t="s">
        <v>63</v>
      </c>
      <c r="C3" s="3" t="s">
        <v>28</v>
      </c>
      <c r="D3" s="3" t="s">
        <v>64</v>
      </c>
      <c r="E3" s="3" t="s">
        <v>65</v>
      </c>
    </row>
    <row r="4" spans="1:5" x14ac:dyDescent="0.3">
      <c r="A4" s="3" t="s">
        <v>2</v>
      </c>
      <c r="B4" s="3" t="s">
        <v>66</v>
      </c>
      <c r="C4" s="3" t="s">
        <v>3</v>
      </c>
      <c r="D4" s="3" t="s">
        <v>67</v>
      </c>
      <c r="E4" s="3" t="s">
        <v>25</v>
      </c>
    </row>
    <row r="5" spans="1:5" x14ac:dyDescent="0.3">
      <c r="A5" s="3" t="s">
        <v>68</v>
      </c>
      <c r="B5" s="3" t="s">
        <v>11</v>
      </c>
      <c r="C5" s="3" t="s">
        <v>69</v>
      </c>
      <c r="D5" s="3" t="s">
        <v>70</v>
      </c>
      <c r="E5" s="3" t="s">
        <v>71</v>
      </c>
    </row>
    <row r="6" spans="1:5" x14ac:dyDescent="0.3">
      <c r="A6" s="3" t="s">
        <v>19</v>
      </c>
      <c r="B6" s="3" t="s">
        <v>18</v>
      </c>
      <c r="C6" s="3" t="s">
        <v>24</v>
      </c>
      <c r="D6" s="3" t="s">
        <v>72</v>
      </c>
      <c r="E6" s="3" t="s">
        <v>71</v>
      </c>
    </row>
    <row r="7" spans="1:5" x14ac:dyDescent="0.3">
      <c r="A7" s="3" t="s">
        <v>73</v>
      </c>
      <c r="B7" s="3" t="s">
        <v>74</v>
      </c>
      <c r="C7" s="3" t="s">
        <v>75</v>
      </c>
      <c r="D7" s="3" t="s">
        <v>64</v>
      </c>
      <c r="E7" s="3" t="s">
        <v>65</v>
      </c>
    </row>
    <row r="8" spans="1:5" x14ac:dyDescent="0.3">
      <c r="A8" s="3" t="s">
        <v>76</v>
      </c>
      <c r="B8" s="3" t="s">
        <v>77</v>
      </c>
      <c r="C8" s="3" t="s">
        <v>78</v>
      </c>
      <c r="D8" s="3" t="s">
        <v>79</v>
      </c>
      <c r="E8" s="3" t="s">
        <v>71</v>
      </c>
    </row>
    <row r="9" spans="1:5" x14ac:dyDescent="0.3">
      <c r="A9" s="3" t="s">
        <v>80</v>
      </c>
      <c r="B9" s="3" t="s">
        <v>81</v>
      </c>
      <c r="C9" s="3" t="s">
        <v>24</v>
      </c>
      <c r="D9" s="3" t="s">
        <v>0</v>
      </c>
      <c r="E9" s="3" t="s">
        <v>71</v>
      </c>
    </row>
    <row r="10" spans="1:5" x14ac:dyDescent="0.3">
      <c r="A10" s="3" t="s">
        <v>82</v>
      </c>
      <c r="B10" s="3" t="s">
        <v>83</v>
      </c>
      <c r="C10" s="3" t="s">
        <v>84</v>
      </c>
      <c r="D10" s="3" t="s">
        <v>85</v>
      </c>
      <c r="E10" s="3" t="s">
        <v>71</v>
      </c>
    </row>
    <row r="11" spans="1:5" x14ac:dyDescent="0.3">
      <c r="A11" s="3" t="s">
        <v>86</v>
      </c>
      <c r="B11" s="3" t="s">
        <v>87</v>
      </c>
      <c r="C11" s="3" t="s">
        <v>88</v>
      </c>
      <c r="D11" s="3" t="s">
        <v>0</v>
      </c>
      <c r="E11" s="3" t="s">
        <v>71</v>
      </c>
    </row>
    <row r="12" spans="1:5" x14ac:dyDescent="0.3">
      <c r="A12" s="3" t="s">
        <v>89</v>
      </c>
      <c r="B12" s="3" t="s">
        <v>90</v>
      </c>
      <c r="C12" s="3" t="s">
        <v>91</v>
      </c>
      <c r="D12" s="3" t="s">
        <v>92</v>
      </c>
      <c r="E12" s="3" t="s">
        <v>25</v>
      </c>
    </row>
    <row r="13" spans="1:5" x14ac:dyDescent="0.3">
      <c r="A13" s="3" t="s">
        <v>93</v>
      </c>
      <c r="B13" s="3" t="s">
        <v>94</v>
      </c>
      <c r="C13" s="3" t="s">
        <v>95</v>
      </c>
      <c r="D13" s="3" t="s">
        <v>96</v>
      </c>
      <c r="E13" s="3" t="s">
        <v>25</v>
      </c>
    </row>
    <row r="14" spans="1:5" x14ac:dyDescent="0.3">
      <c r="A14" s="3" t="s">
        <v>97</v>
      </c>
      <c r="B14" s="3" t="s">
        <v>98</v>
      </c>
      <c r="C14" s="3" t="s">
        <v>28</v>
      </c>
      <c r="D14" s="3" t="s">
        <v>99</v>
      </c>
      <c r="E14" s="3" t="s">
        <v>25</v>
      </c>
    </row>
    <row r="15" spans="1:5" x14ac:dyDescent="0.3">
      <c r="A15" s="3" t="s">
        <v>100</v>
      </c>
      <c r="B15" s="3" t="s">
        <v>101</v>
      </c>
      <c r="C15" s="3" t="s">
        <v>102</v>
      </c>
      <c r="D15" s="3" t="s">
        <v>103</v>
      </c>
      <c r="E15" s="3" t="s">
        <v>25</v>
      </c>
    </row>
    <row r="16" spans="1:5" x14ac:dyDescent="0.3">
      <c r="A16" s="3" t="s">
        <v>104</v>
      </c>
      <c r="B16" s="3" t="s">
        <v>105</v>
      </c>
      <c r="C16" s="3" t="s">
        <v>106</v>
      </c>
      <c r="D16" s="3" t="s">
        <v>0</v>
      </c>
      <c r="E16" s="3" t="s">
        <v>71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A4FFDA13F7E4148ADF8C4B1E4EC1783" ma:contentTypeVersion="0" ma:contentTypeDescription="Crear nuevo documento." ma:contentTypeScope="" ma:versionID="7dd2a0ee4a7883c8c0421efa73adbe6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26ff3a126252e742cc2543983a566b0e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A96A8E7-840D-4AFB-8D4C-4264F950B8A3}">
  <ds:schemaRefs>
    <ds:schemaRef ds:uri="http://purl.org/dc/terms/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86B3A76-347E-4F50-A6C5-F749FCF1425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9AFBC74-939A-4D8B-8FD3-DABEFB190E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BD_usuarios</vt:lpstr>
      <vt:lpstr>BD_hardware</vt:lpstr>
      <vt:lpstr>BD_seguridad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Erik Lozada Anaya</dc:creator>
  <cp:keywords/>
  <dc:description/>
  <cp:lastModifiedBy>Erik Lozada Anaya</cp:lastModifiedBy>
  <cp:revision/>
  <dcterms:created xsi:type="dcterms:W3CDTF">2025-08-13T03:45:43Z</dcterms:created>
  <dcterms:modified xsi:type="dcterms:W3CDTF">2026-08-17T04:44:39Z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0x0101009A4FFDA13F7E4148ADF8C4B1E4EC1783</vt:lpwstr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